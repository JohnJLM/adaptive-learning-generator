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A-B-C" sheetId="1" r:id="rId5"/>
    <sheet state="visible" name="Justificaciones" sheetId="2" r:id="rId6"/>
    <sheet state="visible" name="Enlaces a resultados" sheetId="3" r:id="rId7"/>
  </sheets>
  <definedNames/>
  <calcPr/>
</workbook>
</file>

<file path=xl/sharedStrings.xml><?xml version="1.0" encoding="utf-8"?>
<sst xmlns="http://schemas.openxmlformats.org/spreadsheetml/2006/main" count="513" uniqueCount="148">
  <si>
    <t>Documentos originales de la evaluación FIS-01</t>
  </si>
  <si>
    <t>Caso</t>
  </si>
  <si>
    <t>Archivo</t>
  </si>
  <si>
    <t>URL de GitHub</t>
  </si>
  <si>
    <t>A1</t>
  </si>
  <si>
    <t>FIS01_A1_resultado.md</t>
  </si>
  <si>
    <t>https://github.com/JohnJLM/adaptive-learning-generator/blob/main/evaluation/FIS-01/FIS01_A1_resultado.md</t>
  </si>
  <si>
    <t>A2</t>
  </si>
  <si>
    <t>FIS01_A2_resultado.md</t>
  </si>
  <si>
    <t>https://github.com/JohnJLM/adaptive-learning-generator/blob/main/evaluation/FIS-01/FIS01_A2_resultado.md</t>
  </si>
  <si>
    <t>B1</t>
  </si>
  <si>
    <t>FIS01_B1_resultado.md</t>
  </si>
  <si>
    <t>https://github.com/JohnJLM/adaptive-learning-generator/blob/main/evaluation/FIS-01/FIS01_B1_resultado.md</t>
  </si>
  <si>
    <t>B2</t>
  </si>
  <si>
    <t>FIS01_B2_resultado.md</t>
  </si>
  <si>
    <t>https://github.com/JohnJLM/adaptive-learning-generator/blob/main/evaluation/FIS-01/FIS01_B2_resultado.md</t>
  </si>
  <si>
    <t>C1</t>
  </si>
  <si>
    <t>FIS01_C1_revision_P02.md</t>
  </si>
  <si>
    <t>https://github.com/JohnJLM/adaptive-learning-generator/blob/main/evaluation/FIS-01/FIS01_C1_revision_P02.md</t>
  </si>
  <si>
    <t>Justificación individual de las 78 puntuaciones</t>
  </si>
  <si>
    <t>Las seis valoraciones de cada perfil están vinculadas por el identificador de unidad (ej. FIS01-B1-P02).</t>
  </si>
  <si>
    <t>Identificador</t>
  </si>
  <si>
    <t>FIS-01  |  Matriz de puntuaciones por perfil y ejecución</t>
  </si>
  <si>
    <t>Condición</t>
  </si>
  <si>
    <t>Perfil</t>
  </si>
  <si>
    <t>Cada fila corresponde a un perfil generado. Seis dimensiones independientes (escala 1–4) y media calculada automáticamente.</t>
  </si>
  <si>
    <t>Dimensión evaluada</t>
  </si>
  <si>
    <t>Nota /4</t>
  </si>
  <si>
    <t>Justificación concreta</t>
  </si>
  <si>
    <t>A = Gemini Chat · B = Adaptive Lab · C1 = revisión de B1-P02 (NO repetición independiente). Los detalles de las 78 valoraciones están en «Justificaciones».</t>
  </si>
  <si>
    <t>FIS01-A1-P01</t>
  </si>
  <si>
    <t>Ejecución</t>
  </si>
  <si>
    <t>A</t>
  </si>
  <si>
    <t>P01</t>
  </si>
  <si>
    <t>Fidelidad disciplinar</t>
  </si>
  <si>
    <t>Datos 0 s→0 m, 60 s→+120 m, 90 s→+60 m correctos; distingue recorrido y posición.</t>
  </si>
  <si>
    <t>Adecuación al perfil</t>
  </si>
  <si>
    <t>Complejidad esperada</t>
  </si>
  <si>
    <t>Alineación con objetivos</t>
  </si>
  <si>
    <t>Coherencia entre artefactos</t>
  </si>
  <si>
    <t>Consignas cualitativas y texto sin imágenes, pero no incluye un ejemplo resuelto claramente separado.</t>
  </si>
  <si>
    <t>Claridad y aplicabilidad</t>
  </si>
  <si>
    <t>Media /4</t>
  </si>
  <si>
    <t>Incidencia</t>
  </si>
  <si>
    <t>Generación / versión</t>
  </si>
  <si>
    <t>Documento de evidencia</t>
  </si>
  <si>
    <t>Pregunta A/B de descripción; la exigencia es inicial y sin fórmulas.</t>
  </si>
  <si>
    <t>Pregunta C reitera la posición final y no solicita explícitamente el camino total.</t>
  </si>
  <si>
    <t>Cinco módulos presentes; rúbrica evalúa lectura de datos y descripción.</t>
  </si>
  <si>
    <t>Taller utilizable desde la explicación; algunas preguntas redundantes requieren aclaración docente.</t>
  </si>
  <si>
    <t>No</t>
  </si>
  <si>
    <t>FIS01-A1-P02</t>
  </si>
  <si>
    <t>Gemini Chat · A1</t>
  </si>
  <si>
    <t>P02</t>
  </si>
  <si>
    <t>Calcula 180 m, +60 m, 2 m/s y +2/3 m/s; declara eje este positivo.</t>
  </si>
  <si>
    <t>Exige cálculos, unidades y explicación conceptual de 4.º ESO.</t>
  </si>
  <si>
    <t>Cuatro ejercicios escalonados de magnitudes a interpretación.</t>
  </si>
  <si>
    <t>P03</t>
  </si>
  <si>
    <t>Objetivos reflejados en taller, criterios y rúbrica de tres niveles.</t>
  </si>
  <si>
    <t>Los cinco módulos coinciden en magnitudes y evidencias esperadas.</t>
  </si>
  <si>
    <t>Secuencia 10/20/15 min clara; revisar si la extensión del material cabe en el tiempo.</t>
  </si>
  <si>
    <t>FIS01-A1-P03</t>
  </si>
  <si>
    <t>Da velocidades +2 y -2 m/s y formula el modelo de posición por tramos; reconoce la idealización.</t>
  </si>
  <si>
    <t>Algebra, pendientes y justificación acorde a Bachillerato.</t>
  </si>
  <si>
    <t>Gemini Chat · A2</t>
  </si>
  <si>
    <t>Pide ecuaciones, pendientes e interpretación crítica de la discontinuidad idealizada.</t>
  </si>
  <si>
    <t>El taller cubre formalización y crítica física con criterios congruentes.</t>
  </si>
  <si>
    <t>Explicación, ejercicios, rúbrica y guía se enlazan; las cifras son coherentes.</t>
  </si>
  <si>
    <t>Actividad completa pero extensa para 45 min; requiere organización docente.</t>
  </si>
  <si>
    <t>FIS01-A2-P01</t>
  </si>
  <si>
    <t>Representa posiciones y distancia de 180 m correctamente.</t>
  </si>
  <si>
    <t>Incluye ejemplo resuelto verbal y prescinde de imágenes para P01.</t>
  </si>
  <si>
    <t>Preguntas de lectura, camino y cambio de sentido sin fórmulas avanzadas.</t>
  </si>
  <si>
    <t>Exige posición final, distancia y dos tramos; rúbrica coherente.</t>
  </si>
  <si>
    <t>Ejemplo, preguntas y criterios utilizan el mismo recorrido.</t>
  </si>
  <si>
    <t>Sí</t>
  </si>
  <si>
    <t>Instrucciones autosuficientes; secuencia docente clara aunque simplificable.</t>
  </si>
  <si>
    <t>GEN-MVKQ03D2 · v1</t>
  </si>
  <si>
    <t>FIS01-A2-P02</t>
  </si>
  <si>
    <t>Calcula 180 m, +60 m, 2 m/s y +0,67 m/s correctamente.</t>
  </si>
  <si>
    <t>Uso de signos, unidades, divisiones y argumentación apropiados al perfil.</t>
  </si>
  <si>
    <t>Problema numérico y discusión conceptual con carga intermedia adecuada.</t>
  </si>
  <si>
    <t>Distancia, desplazamiento, rapidez y velocidad presentes en criterios y rúbrica.</t>
  </si>
  <si>
    <t>Explicación proporciona datos; taller los repite; rúbrica los valora.</t>
  </si>
  <si>
    <t>Procedimiento completo; extensión y evaluación en 45 min exigen organización.</t>
  </si>
  <si>
    <t>FIS01-A2-P03</t>
  </si>
  <si>
    <t>Propone x(t)=2t y x(t)=240-2t, con +2/-2 m/s; explicita la idealización.</t>
  </si>
  <si>
    <t>Algebra y razonamiento físico adecuados a 2.º Bachillerato.</t>
  </si>
  <si>
    <t>Formalización por tramos y análisis crítico sin exigir aceleración real.</t>
  </si>
  <si>
    <t>GEN-MVKT0CB6 · v1</t>
  </si>
  <si>
    <t>Se evalúan ecuaciones, pendientes, magnitudes y restricciones del modelo.</t>
  </si>
  <si>
    <t>Módulos enlazados y actividad resoluble sin figuras externas.</t>
  </si>
  <si>
    <t>Material claro, pero debate avanzado y cálculos completos en 45 min es ajustado.</t>
  </si>
  <si>
    <t>FIS01-B1-P01</t>
  </si>
  <si>
    <t>B</t>
  </si>
  <si>
    <t>En taller dice 'minuto 60' y 'minuto 90', en contradicción con segundos del caso.</t>
  </si>
  <si>
    <t>Lenguaje sencillo, sin dependencia visual, pero omite ejemplo resuelto explícito.</t>
  </si>
  <si>
    <t>Preguntas introductorias; pedir cálculo de distancia añade exigencia aceptable.</t>
  </si>
  <si>
    <t>La evidencia menciona posiciones, pero el taller se centra en distancia y tramos.</t>
  </si>
  <si>
    <t>La explicación usa segundos y la instrucción 'minuto 60': conflicto interno.</t>
  </si>
  <si>
    <t>GEN-MVKSEENP · v2</t>
  </si>
  <si>
    <t>El error de unidad en la instrucción puede inducir una interpretación 60 veces mayor.</t>
  </si>
  <si>
    <t>FIS01-B1-P02</t>
  </si>
  <si>
    <t>RESUMEN POR EJECUCIÓN</t>
  </si>
  <si>
    <t>Define correctamente distancia/desplazamiento y rapidez/velocidad; no desarrolla cálculos numéricos.</t>
  </si>
  <si>
    <t>Perfiles</t>
  </si>
  <si>
    <t>Conocimientos y signos acordes al perfil intermedio; andamiaje mejorable.</t>
  </si>
  <si>
    <t>Realiza cuatro cálculos con justificación; no presenta ejemplo resuelto.</t>
  </si>
  <si>
    <t>Taller y rúbrica cubren cálculos, pero rúbrica usa un solo criterio global.</t>
  </si>
  <si>
    <t>Cinco módulos coherentes, aunque criterios y rúbrica son poco específicos.</t>
  </si>
  <si>
    <t>Datos presentes en explicación; guía docente de dos pasos requiere ampliación.</t>
  </si>
  <si>
    <t>FIS01-B1-P03</t>
  </si>
  <si>
    <t>Describe signo de velocidades y la discontinuidad idealizada sin errores manifiestos.</t>
  </si>
  <si>
    <t>Nota: C1 revisa un único perfil de B1; no debe interpretarse como una muestra equivalente a A o B.</t>
  </si>
  <si>
    <t>Enfoque analítico y crítico pertinente al perfil, pero faltan datos cuantitativos propios.</t>
  </si>
  <si>
    <t>Exige hallar x(t) y pendientes; no aporta posiciones necesarias en el material P03.</t>
  </si>
  <si>
    <t>Objetivo de modelización se plantea, pero no hay datos suficientes para obtener ecuaciones.</t>
  </si>
  <si>
    <t>Explicación P03 omite x(0), x(60), x(90) y taller remite a 'enunciado' no reproducido.</t>
  </si>
  <si>
    <t>El taller no es autosuficiente si P03 se entrega como material individual.</t>
  </si>
  <si>
    <t>FIS01-B2-P01</t>
  </si>
  <si>
    <t>Los tiempos y posiciones son correctos; no se detecta confusión de unidades.</t>
  </si>
  <si>
    <t>Sin imágenes ni fórmulas complejas, pero no hay ejemplo resuelto individual de lectura de datos.</t>
  </si>
  <si>
    <t>Lectura e interpretación cualitativa adecuadas a P01.</t>
  </si>
  <si>
    <t>Cuatro consignas trabajan dos tramos, trayecto y posición final.</t>
  </si>
  <si>
    <t>Explicación, taller, criterios y rúbrica sobre los mismos datos.</t>
  </si>
  <si>
    <t>Consignas claras; falta el ejemplo resuelto solicitado en consideraciones.</t>
  </si>
  <si>
    <t>FIS01-B2-P02</t>
  </si>
  <si>
    <t>Da 180 m, +60 m, 2 m/s y +0,67 m/s con signos correctos.</t>
  </si>
  <si>
    <t>Magnitudes, unidades y signos apropiados a consolidación.</t>
  </si>
  <si>
    <t>Cálculos del recorrido y explicación del signo adecuados a 4.º ESO.</t>
  </si>
  <si>
    <t>Se solicitan y evalúan las cuatro magnitudes del objetivo.</t>
  </si>
  <si>
    <t>Los cinco módulos y dos criterios de rúbrica siguen el mismo problema.</t>
  </si>
  <si>
    <t>La secuencia es ejecutable; la comparación argumentada de rapidez/velocidad es breve.</t>
  </si>
  <si>
    <t>FIS01-B2-P03</t>
  </si>
  <si>
    <t>Velocidades +2 y -2 m/s correctas; explica la idealización del salto de velocidad.</t>
  </si>
  <si>
    <t>Perfil avanzado con dos tramos y crítica física; la formalización no se ejemplifica.</t>
  </si>
  <si>
    <t>Pide formular x(t), pero no presenta expresiones explícitas en la explicación.</t>
  </si>
  <si>
    <t>La actividad evalúa el objetivo, aunque parte de las evidencias quedan como trabajo del alumno.</t>
  </si>
  <si>
    <t>Posiciones y tiempos necesarios están presentes; la rúbrica se alinea con el taller.</t>
  </si>
  <si>
    <t>Material resoluble y con datos; explicación de x(t) por tramos es incompleta.</t>
  </si>
  <si>
    <t>FIS01-C1-P02</t>
  </si>
  <si>
    <t>C</t>
  </si>
  <si>
    <t>Ejemplo calcula 180 m, +60 m, 2 m/s y +0,67 m/s correctamente.</t>
  </si>
  <si>
    <t>Nivel intermedio mantenido y ejemplo numérico explícito añadido.</t>
  </si>
  <si>
    <t>El taller repite los cálculos ya resueltos en la explicación; menor autonomía exploratoria.</t>
  </si>
  <si>
    <t>Rúbrica ampliada a tres criterios que recogen cálculos, signos y diferencia conceptual.</t>
  </si>
  <si>
    <t>Cinco módulos coherentes; 'expectedEvidence' incluye resultados del mismo ejercicio.</t>
  </si>
  <si>
    <t>Se puede aplicar; conviene distinguir material docente y ejercicio del alumnado para no revelar respuestas.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</si>
</sst>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rgb="FF2460AB"/>
      <name val="Carlito"/>
    </font>
    <font>
      <b/>
      <sz val="15.0"/>
      <color rgb="FFFFFFFF"/>
      <name val="Carlito"/>
    </font>
    <font>
      <sz val="10.0"/>
      <color rgb="FF52657B"/>
      <name val="Carlito"/>
    </font>
    <font>
      <b/>
      <sz val="16.0"/>
      <color rgb="FFFFFFFF"/>
      <name val="Carlito"/>
    </font>
    <font>
      <sz val="10.0"/>
      <color rgb="FF415870"/>
      <name val="Carlito"/>
    </font>
    <font>
      <sz val="10.0"/>
      <color rgb="FF44556B"/>
      <name val="Carlito"/>
    </font>
    <font>
      <sz val="11.0"/>
      <color theme="1"/>
      <name val="Carlito"/>
    </font>
    <font>
      <b/>
      <sz val="10.0"/>
      <color rgb="FFFFFFFF"/>
      <name val="Carlito"/>
    </font>
    <font>
      <b/>
      <sz val="11.0"/>
      <color rgb="FF2854A7"/>
      <name val="Carlito"/>
    </font>
    <font>
      <b/>
      <sz val="11.0"/>
      <color rgb="FF24364A"/>
      <name val="Carlito"/>
    </font>
    <font>
      <sz val="11.0"/>
      <color rgb="FF536779"/>
      <name val="Carlito"/>
    </font>
    <font>
      <sz val="10.0"/>
      <color rgb="FF245783"/>
      <name val="Carlito"/>
    </font>
    <font>
      <b/>
      <sz val="11.0"/>
      <color rgb="FF087B70"/>
      <name val="Carlito"/>
    </font>
    <font>
      <b/>
      <sz val="11.0"/>
      <color rgb="FFB42318"/>
      <name val="Carlito"/>
    </font>
    <font>
      <b/>
      <sz val="11.0"/>
      <color rgb="FFAA6500"/>
      <name val="Carlito"/>
    </font>
    <font>
      <b/>
      <sz val="11.0"/>
      <color rgb="FF18324F"/>
      <name val="Carlito"/>
    </font>
    <font>
      <b/>
      <sz val="11.0"/>
      <color theme="1"/>
      <name val="Carlito"/>
    </font>
    <font>
      <sz val="10.0"/>
      <color rgb="FF955C16"/>
      <name val="Carlito"/>
    </font>
    <font>
      <sz val="10.0"/>
      <color theme="1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163A63"/>
        <bgColor rgb="FF163A63"/>
      </patternFill>
    </fill>
    <fill>
      <patternFill patternType="solid">
        <fgColor rgb="FF18324F"/>
        <bgColor rgb="FF18324F"/>
      </patternFill>
    </fill>
    <fill>
      <patternFill patternType="solid">
        <fgColor rgb="FFEEF3FD"/>
        <bgColor rgb="FFEEF3FD"/>
      </patternFill>
    </fill>
    <fill>
      <patternFill patternType="solid">
        <fgColor rgb="FFEEF9F6"/>
        <bgColor rgb="FFEEF9F6"/>
      </patternFill>
    </fill>
    <fill>
      <patternFill patternType="solid">
        <fgColor rgb="FFFCE8E8"/>
        <bgColor rgb="FFFCE8E8"/>
      </patternFill>
    </fill>
    <fill>
      <patternFill patternType="solid">
        <fgColor rgb="FFFFF6E9"/>
        <bgColor rgb="FFFFF6E9"/>
      </patternFill>
    </fill>
    <fill>
      <patternFill patternType="solid">
        <fgColor rgb="FFEDF3FA"/>
        <bgColor rgb="FFEDF3FA"/>
      </patternFill>
    </fill>
    <fill>
      <patternFill patternType="solid">
        <fgColor rgb="FFFFF4E6"/>
        <bgColor rgb="FFFFF4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0" fontId="3" numFmtId="0" xfId="0" applyFont="1"/>
    <xf borderId="0" fillId="0" fontId="4" numFmtId="0" xfId="0" applyFont="1"/>
    <xf borderId="0" fillId="2" fontId="5" numFmtId="0" xfId="0" applyFill="1" applyFont="1"/>
    <xf borderId="0" fillId="0" fontId="6" numFmtId="0" xfId="0" applyFont="1"/>
    <xf borderId="0" fillId="2" fontId="7" numFmtId="0" xfId="0" applyAlignment="1" applyFill="1" applyFont="1">
      <alignment vertical="center"/>
    </xf>
    <xf borderId="0" fillId="3" fontId="2" numFmtId="0" xfId="0" applyAlignment="1" applyFill="1" applyFont="1">
      <alignment horizontal="left" readingOrder="0" shrinkToFit="0" vertical="center" wrapText="1"/>
    </xf>
    <xf borderId="0" fillId="0" fontId="8" numFmtId="0" xfId="0" applyFont="1"/>
    <xf borderId="0" fillId="0" fontId="9" numFmtId="0" xfId="0" applyFont="1"/>
    <xf borderId="0" fillId="4" fontId="10" numFmtId="0" xfId="0" applyAlignment="1" applyFill="1" applyFont="1">
      <alignment shrinkToFit="0" vertical="center" wrapText="0"/>
    </xf>
    <xf borderId="0" fillId="3" fontId="11" numFmtId="0" xfId="0" applyAlignment="1" applyFill="1" applyFont="1">
      <alignment horizontal="center" readingOrder="0" shrinkToFit="0" vertical="center" wrapText="1"/>
    </xf>
    <xf borderId="0" fillId="4" fontId="10" numFmtId="1" xfId="0" applyAlignment="1" applyFill="1" applyFont="1" applyNumberFormat="1">
      <alignment horizontal="center" shrinkToFit="0" vertical="center" wrapText="0"/>
    </xf>
    <xf borderId="0" fillId="4" fontId="10" numFmtId="0" xfId="0" applyAlignment="1" applyFill="1" applyFont="1">
      <alignment shrinkToFit="0" vertical="center" wrapText="1"/>
    </xf>
    <xf borderId="0" fillId="4" fontId="12" numFmtId="0" xfId="0" applyAlignment="1" applyFill="1" applyFont="1">
      <alignment shrinkToFit="0" vertical="center" wrapText="0"/>
    </xf>
    <xf borderId="0" fillId="4" fontId="13" numFmtId="2" xfId="0" applyAlignment="1" applyFill="1" applyFont="1" applyNumberFormat="1">
      <alignment horizontal="center" shrinkToFit="0" vertical="center" wrapText="0"/>
    </xf>
    <xf borderId="0" fillId="4" fontId="14" numFmtId="0" xfId="0" applyAlignment="1" applyFill="1" applyFont="1">
      <alignment shrinkToFit="0" vertical="center" wrapText="0"/>
    </xf>
    <xf borderId="0" fillId="4" fontId="15" numFmtId="0" xfId="0" applyAlignment="1" applyFill="1" applyFont="1">
      <alignment horizontal="left" shrinkToFit="0" vertical="center" wrapText="0"/>
    </xf>
    <xf borderId="0" fillId="5" fontId="16" numFmtId="0" xfId="0" applyAlignment="1" applyFill="1" applyFont="1">
      <alignment shrinkToFit="0" vertical="center" wrapText="0"/>
    </xf>
    <xf borderId="0" fillId="5" fontId="10" numFmtId="0" xfId="0" applyAlignment="1" applyFill="1" applyFont="1">
      <alignment shrinkToFit="0" vertical="center" wrapText="0"/>
    </xf>
    <xf borderId="0" fillId="5" fontId="10" numFmtId="1" xfId="0" applyAlignment="1" applyFill="1" applyFont="1" applyNumberFormat="1">
      <alignment horizontal="center" shrinkToFit="0" vertical="center" wrapText="0"/>
    </xf>
    <xf borderId="0" fillId="5" fontId="13" numFmtId="2" xfId="0" applyAlignment="1" applyFill="1" applyFont="1" applyNumberFormat="1">
      <alignment horizontal="center" shrinkToFit="0" vertical="center" wrapText="0"/>
    </xf>
    <xf borderId="0" fillId="6" fontId="17" numFmtId="0" xfId="0" applyAlignment="1" applyFill="1" applyFont="1">
      <alignment shrinkToFit="0" vertical="center" wrapText="0"/>
    </xf>
    <xf borderId="0" fillId="5" fontId="15" numFmtId="0" xfId="0" applyAlignment="1" applyFill="1" applyFont="1">
      <alignment horizontal="left" shrinkToFit="0" vertical="center" wrapText="0"/>
    </xf>
    <xf borderId="0" fillId="5" fontId="14" numFmtId="0" xfId="0" applyAlignment="1" applyFill="1" applyFont="1">
      <alignment shrinkToFit="0" vertical="center" wrapText="0"/>
    </xf>
    <xf borderId="0" fillId="5" fontId="10" numFmtId="0" xfId="0" applyAlignment="1" applyFill="1" applyFont="1">
      <alignment shrinkToFit="0" vertical="center" wrapText="1"/>
    </xf>
    <xf borderId="0" fillId="7" fontId="18" numFmtId="0" xfId="0" applyAlignment="1" applyFill="1" applyFont="1">
      <alignment shrinkToFit="0" vertical="center" wrapText="0"/>
    </xf>
    <xf borderId="0" fillId="7" fontId="10" numFmtId="0" xfId="0" applyAlignment="1" applyFill="1" applyFont="1">
      <alignment shrinkToFit="0" vertical="center" wrapText="0"/>
    </xf>
    <xf borderId="0" fillId="7" fontId="10" numFmtId="1" xfId="0" applyAlignment="1" applyFill="1" applyFont="1" applyNumberFormat="1">
      <alignment horizontal="center" shrinkToFit="0" vertical="center" wrapText="0"/>
    </xf>
    <xf borderId="0" fillId="7" fontId="13" numFmtId="2" xfId="0" applyAlignment="1" applyFill="1" applyFont="1" applyNumberFormat="1">
      <alignment horizontal="center" shrinkToFit="0" vertical="center" wrapText="0"/>
    </xf>
    <xf borderId="0" fillId="7" fontId="14" numFmtId="0" xfId="0" applyAlignment="1" applyFill="1" applyFont="1">
      <alignment shrinkToFit="0" vertical="center" wrapText="0"/>
    </xf>
    <xf borderId="0" fillId="7" fontId="15" numFmtId="0" xfId="0" applyAlignment="1" applyFill="1" applyFont="1">
      <alignment horizontal="left" shrinkToFit="0" vertical="center" wrapText="0"/>
    </xf>
    <xf borderId="0" fillId="2" fontId="2" numFmtId="0" xfId="0" applyFill="1" applyFont="1"/>
    <xf borderId="1" fillId="8" fontId="19" numFmtId="0" xfId="0" applyBorder="1" applyFill="1" applyFont="1"/>
    <xf borderId="1" fillId="0" fontId="3" numFmtId="0" xfId="0" applyBorder="1" applyFont="1"/>
    <xf borderId="1" fillId="0" fontId="20" numFmtId="2" xfId="0" applyBorder="1" applyFont="1" applyNumberFormat="1"/>
    <xf borderId="0" fillId="9" fontId="21" numFmtId="0" xfId="0" applyAlignment="1" applyFill="1" applyFont="1">
      <alignment shrinkToFit="0" wrapText="1"/>
    </xf>
    <xf borderId="0" fillId="0" fontId="22" numFmtId="0" xfId="0" applyAlignment="1" applyFont="1">
      <alignment shrinkToFit="0" wrapText="1"/>
    </xf>
    <xf borderId="0" fillId="7" fontId="10" numFmtId="0" xfId="0" applyAlignment="1" applyFill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Justificac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riz A-B-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L18" displayName="MatrizFIS01" name="MatrizFIS01" id="2">
  <tableColumns count="12">
    <tableColumn name="Ejecución" id="1"/>
    <tableColumn name="Perfil" id="2"/>
    <tableColumn name="Fidelidad disciplinar" id="3"/>
    <tableColumn name="Adecuación al perfil" id="4"/>
    <tableColumn name="Complejidad esperada" id="5"/>
    <tableColumn name="Alineación con objetivos" id="6"/>
    <tableColumn name="Coherencia entre artefactos" id="7"/>
    <tableColumn name="Claridad y aplicabilidad" id="8"/>
    <tableColumn name="Media /4" id="9"/>
    <tableColumn name="Incidencia" id="10"/>
    <tableColumn name="Generación / versión" id="11"/>
    <tableColumn name="Documento de evidencia" id="12"/>
  </tableColumns>
  <tableStyleInfo name="Matriz A-B-C-style" showColumnStripes="0" showFirstColumn="1" showLastColumn="1" showRowStripes="1"/>
</table>
</file>

<file path=xl/tables/table2.xml><?xml version="1.0" encoding="utf-8"?>
<table xmlns="http://schemas.openxmlformats.org/spreadsheetml/2006/main" ref="A4:F82" displayName="JustificacionesFIS01" name="JustificacionesFIS01" id="1">
  <tableColumns count="6">
    <tableColumn name="Identificador" id="1"/>
    <tableColumn name="Condición" id="2"/>
    <tableColumn name="Perfil" id="3"/>
    <tableColumn name="Dimensión evaluada" id="4"/>
    <tableColumn name="Nota /4" id="5"/>
    <tableColumn name="Justificación concreta" id="6"/>
  </tableColumns>
  <tableStyleInfo name="Justifica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2" width="13.0"/>
    <col customWidth="1" min="3" max="4" width="23.0"/>
    <col customWidth="1" min="5" max="5" width="22.0"/>
    <col customWidth="1" min="6" max="6" width="23.0"/>
    <col customWidth="1" min="7" max="7" width="25.0"/>
    <col customWidth="1" min="8" max="8" width="24.0"/>
    <col customWidth="1" min="9" max="9" width="12.0"/>
    <col customWidth="1" min="10" max="10" width="15.0"/>
    <col customWidth="1" min="11" max="11" width="27.0"/>
    <col customWidth="1" min="12" max="12" width="30.0"/>
    <col customWidth="1" min="13" max="26" width="8.63"/>
  </cols>
  <sheetData>
    <row r="1" ht="36.75" customHeight="1">
      <c r="A1" s="7" t="s">
        <v>22</v>
      </c>
    </row>
    <row r="2" ht="25.5" customHeight="1">
      <c r="A2" s="9" t="s">
        <v>25</v>
      </c>
      <c r="G2" s="9"/>
      <c r="H2" s="9"/>
      <c r="I2" s="9"/>
      <c r="J2" s="9"/>
      <c r="K2" s="9"/>
      <c r="L2" s="9"/>
    </row>
    <row r="3" ht="25.5" customHeight="1">
      <c r="A3" s="10" t="s">
        <v>29</v>
      </c>
      <c r="G3" s="10"/>
      <c r="H3" s="10"/>
      <c r="I3" s="10"/>
      <c r="J3" s="10"/>
      <c r="K3" s="10"/>
      <c r="L3" s="10"/>
    </row>
    <row r="5" ht="40.5" customHeight="1">
      <c r="A5" s="12" t="s">
        <v>31</v>
      </c>
      <c r="B5" s="12" t="s">
        <v>24</v>
      </c>
      <c r="C5" s="12" t="s">
        <v>34</v>
      </c>
      <c r="D5" s="12" t="s">
        <v>36</v>
      </c>
      <c r="E5" s="12" t="s">
        <v>37</v>
      </c>
      <c r="F5" s="12" t="s">
        <v>38</v>
      </c>
      <c r="G5" s="12" t="s">
        <v>39</v>
      </c>
      <c r="H5" s="12" t="s">
        <v>41</v>
      </c>
      <c r="I5" s="12" t="s">
        <v>42</v>
      </c>
      <c r="J5" s="12" t="s">
        <v>43</v>
      </c>
      <c r="K5" s="12" t="s">
        <v>44</v>
      </c>
      <c r="L5" s="12" t="s">
        <v>45</v>
      </c>
    </row>
    <row r="6" ht="27.0" customHeight="1">
      <c r="A6" s="15" t="s">
        <v>4</v>
      </c>
      <c r="B6" s="11" t="s">
        <v>33</v>
      </c>
      <c r="C6" s="13">
        <v>4.0</v>
      </c>
      <c r="D6" s="13">
        <v>3.0</v>
      </c>
      <c r="E6" s="13">
        <v>3.0</v>
      </c>
      <c r="F6" s="13">
        <v>3.0</v>
      </c>
      <c r="G6" s="13">
        <v>3.0</v>
      </c>
      <c r="H6" s="13">
        <v>3.0</v>
      </c>
      <c r="I6" s="16">
        <f t="shared" ref="I6:I18" si="1">AVERAGE(C6:H6)</f>
        <v>3.166666667</v>
      </c>
      <c r="J6" s="17" t="s">
        <v>50</v>
      </c>
      <c r="K6" s="11" t="s">
        <v>52</v>
      </c>
      <c r="L6" s="18" t="s">
        <v>5</v>
      </c>
    </row>
    <row r="7" ht="27.0" customHeight="1">
      <c r="A7" s="15" t="s">
        <v>4</v>
      </c>
      <c r="B7" s="11" t="s">
        <v>53</v>
      </c>
      <c r="C7" s="13">
        <v>4.0</v>
      </c>
      <c r="D7" s="13">
        <v>4.0</v>
      </c>
      <c r="E7" s="13">
        <v>4.0</v>
      </c>
      <c r="F7" s="13">
        <v>4.0</v>
      </c>
      <c r="G7" s="13">
        <v>4.0</v>
      </c>
      <c r="H7" s="13">
        <v>3.0</v>
      </c>
      <c r="I7" s="16">
        <f t="shared" si="1"/>
        <v>3.833333333</v>
      </c>
      <c r="J7" s="17" t="s">
        <v>50</v>
      </c>
      <c r="K7" s="11" t="s">
        <v>52</v>
      </c>
      <c r="L7" s="18" t="s">
        <v>5</v>
      </c>
    </row>
    <row r="8" ht="27.0" customHeight="1">
      <c r="A8" s="15" t="s">
        <v>4</v>
      </c>
      <c r="B8" s="11" t="s">
        <v>57</v>
      </c>
      <c r="C8" s="13">
        <v>4.0</v>
      </c>
      <c r="D8" s="13">
        <v>4.0</v>
      </c>
      <c r="E8" s="13">
        <v>4.0</v>
      </c>
      <c r="F8" s="13">
        <v>4.0</v>
      </c>
      <c r="G8" s="13">
        <v>4.0</v>
      </c>
      <c r="H8" s="13">
        <v>3.0</v>
      </c>
      <c r="I8" s="16">
        <f t="shared" si="1"/>
        <v>3.833333333</v>
      </c>
      <c r="J8" s="17" t="s">
        <v>50</v>
      </c>
      <c r="K8" s="11" t="s">
        <v>52</v>
      </c>
      <c r="L8" s="18" t="s">
        <v>5</v>
      </c>
    </row>
    <row r="9" ht="27.0" customHeight="1">
      <c r="A9" s="15" t="s">
        <v>7</v>
      </c>
      <c r="B9" s="11" t="s">
        <v>33</v>
      </c>
      <c r="C9" s="13">
        <v>4.0</v>
      </c>
      <c r="D9" s="13">
        <v>4.0</v>
      </c>
      <c r="E9" s="13">
        <v>4.0</v>
      </c>
      <c r="F9" s="13">
        <v>4.0</v>
      </c>
      <c r="G9" s="13">
        <v>4.0</v>
      </c>
      <c r="H9" s="13">
        <v>3.0</v>
      </c>
      <c r="I9" s="16">
        <f t="shared" si="1"/>
        <v>3.833333333</v>
      </c>
      <c r="J9" s="17" t="s">
        <v>50</v>
      </c>
      <c r="K9" s="11" t="s">
        <v>64</v>
      </c>
      <c r="L9" s="18" t="s">
        <v>8</v>
      </c>
    </row>
    <row r="10" ht="27.0" customHeight="1">
      <c r="A10" s="15" t="s">
        <v>7</v>
      </c>
      <c r="B10" s="11" t="s">
        <v>53</v>
      </c>
      <c r="C10" s="13">
        <v>4.0</v>
      </c>
      <c r="D10" s="13">
        <v>4.0</v>
      </c>
      <c r="E10" s="13">
        <v>4.0</v>
      </c>
      <c r="F10" s="13">
        <v>4.0</v>
      </c>
      <c r="G10" s="13">
        <v>4.0</v>
      </c>
      <c r="H10" s="13">
        <v>3.0</v>
      </c>
      <c r="I10" s="16">
        <f t="shared" si="1"/>
        <v>3.833333333</v>
      </c>
      <c r="J10" s="17" t="s">
        <v>50</v>
      </c>
      <c r="K10" s="11" t="s">
        <v>64</v>
      </c>
      <c r="L10" s="18" t="s">
        <v>8</v>
      </c>
    </row>
    <row r="11" ht="27.0" customHeight="1">
      <c r="A11" s="15" t="s">
        <v>7</v>
      </c>
      <c r="B11" s="11" t="s">
        <v>57</v>
      </c>
      <c r="C11" s="13">
        <v>4.0</v>
      </c>
      <c r="D11" s="13">
        <v>4.0</v>
      </c>
      <c r="E11" s="13">
        <v>4.0</v>
      </c>
      <c r="F11" s="13">
        <v>4.0</v>
      </c>
      <c r="G11" s="13">
        <v>4.0</v>
      </c>
      <c r="H11" s="13">
        <v>3.0</v>
      </c>
      <c r="I11" s="16">
        <f t="shared" si="1"/>
        <v>3.833333333</v>
      </c>
      <c r="J11" s="17" t="s">
        <v>50</v>
      </c>
      <c r="K11" s="11" t="s">
        <v>64</v>
      </c>
      <c r="L11" s="18" t="s">
        <v>8</v>
      </c>
    </row>
    <row r="12" ht="27.0" customHeight="1">
      <c r="A12" s="19" t="s">
        <v>10</v>
      </c>
      <c r="B12" s="20" t="s">
        <v>33</v>
      </c>
      <c r="C12" s="21">
        <v>2.0</v>
      </c>
      <c r="D12" s="21">
        <v>3.0</v>
      </c>
      <c r="E12" s="21">
        <v>3.0</v>
      </c>
      <c r="F12" s="21">
        <v>2.0</v>
      </c>
      <c r="G12" s="21">
        <v>2.0</v>
      </c>
      <c r="H12" s="21">
        <v>2.0</v>
      </c>
      <c r="I12" s="22">
        <f t="shared" si="1"/>
        <v>2.333333333</v>
      </c>
      <c r="J12" s="23" t="s">
        <v>75</v>
      </c>
      <c r="K12" s="20" t="s">
        <v>77</v>
      </c>
      <c r="L12" s="24" t="s">
        <v>11</v>
      </c>
    </row>
    <row r="13" ht="27.0" customHeight="1">
      <c r="A13" s="19" t="s">
        <v>10</v>
      </c>
      <c r="B13" s="20" t="s">
        <v>53</v>
      </c>
      <c r="C13" s="21">
        <v>4.0</v>
      </c>
      <c r="D13" s="21">
        <v>3.0</v>
      </c>
      <c r="E13" s="21">
        <v>3.0</v>
      </c>
      <c r="F13" s="21">
        <v>3.0</v>
      </c>
      <c r="G13" s="21">
        <v>3.0</v>
      </c>
      <c r="H13" s="21">
        <v>3.0</v>
      </c>
      <c r="I13" s="22">
        <f t="shared" si="1"/>
        <v>3.166666667</v>
      </c>
      <c r="J13" s="25" t="s">
        <v>50</v>
      </c>
      <c r="K13" s="20" t="s">
        <v>77</v>
      </c>
      <c r="L13" s="24" t="s">
        <v>11</v>
      </c>
    </row>
    <row r="14" ht="27.0" customHeight="1">
      <c r="A14" s="19" t="s">
        <v>10</v>
      </c>
      <c r="B14" s="20" t="s">
        <v>57</v>
      </c>
      <c r="C14" s="21">
        <v>3.0</v>
      </c>
      <c r="D14" s="21">
        <v>3.0</v>
      </c>
      <c r="E14" s="21">
        <v>3.0</v>
      </c>
      <c r="F14" s="21">
        <v>2.0</v>
      </c>
      <c r="G14" s="21">
        <v>1.0</v>
      </c>
      <c r="H14" s="21">
        <v>1.0</v>
      </c>
      <c r="I14" s="22">
        <f t="shared" si="1"/>
        <v>2.166666667</v>
      </c>
      <c r="J14" s="23" t="s">
        <v>75</v>
      </c>
      <c r="K14" s="20" t="s">
        <v>77</v>
      </c>
      <c r="L14" s="24" t="s">
        <v>11</v>
      </c>
    </row>
    <row r="15" ht="27.0" customHeight="1">
      <c r="A15" s="19" t="s">
        <v>13</v>
      </c>
      <c r="B15" s="20" t="s">
        <v>33</v>
      </c>
      <c r="C15" s="21">
        <v>4.0</v>
      </c>
      <c r="D15" s="21">
        <v>3.0</v>
      </c>
      <c r="E15" s="21">
        <v>3.0</v>
      </c>
      <c r="F15" s="21">
        <v>3.0</v>
      </c>
      <c r="G15" s="21">
        <v>3.0</v>
      </c>
      <c r="H15" s="21">
        <v>3.0</v>
      </c>
      <c r="I15" s="22">
        <f t="shared" si="1"/>
        <v>3.166666667</v>
      </c>
      <c r="J15" s="25" t="s">
        <v>50</v>
      </c>
      <c r="K15" s="20" t="s">
        <v>89</v>
      </c>
      <c r="L15" s="24" t="s">
        <v>14</v>
      </c>
    </row>
    <row r="16" ht="27.0" customHeight="1">
      <c r="A16" s="19" t="s">
        <v>13</v>
      </c>
      <c r="B16" s="20" t="s">
        <v>53</v>
      </c>
      <c r="C16" s="21">
        <v>4.0</v>
      </c>
      <c r="D16" s="21">
        <v>4.0</v>
      </c>
      <c r="E16" s="21">
        <v>4.0</v>
      </c>
      <c r="F16" s="21">
        <v>4.0</v>
      </c>
      <c r="G16" s="21">
        <v>4.0</v>
      </c>
      <c r="H16" s="21">
        <v>3.0</v>
      </c>
      <c r="I16" s="22">
        <f t="shared" si="1"/>
        <v>3.833333333</v>
      </c>
      <c r="J16" s="25" t="s">
        <v>50</v>
      </c>
      <c r="K16" s="20" t="s">
        <v>89</v>
      </c>
      <c r="L16" s="24" t="s">
        <v>14</v>
      </c>
    </row>
    <row r="17" ht="27.0" customHeight="1">
      <c r="A17" s="19" t="s">
        <v>13</v>
      </c>
      <c r="B17" s="20" t="s">
        <v>57</v>
      </c>
      <c r="C17" s="21">
        <v>4.0</v>
      </c>
      <c r="D17" s="21">
        <v>3.0</v>
      </c>
      <c r="E17" s="21">
        <v>3.0</v>
      </c>
      <c r="F17" s="21">
        <v>3.0</v>
      </c>
      <c r="G17" s="21">
        <v>3.0</v>
      </c>
      <c r="H17" s="21">
        <v>3.0</v>
      </c>
      <c r="I17" s="22">
        <f t="shared" si="1"/>
        <v>3.166666667</v>
      </c>
      <c r="J17" s="25" t="s">
        <v>50</v>
      </c>
      <c r="K17" s="20" t="s">
        <v>89</v>
      </c>
      <c r="L17" s="24" t="s">
        <v>14</v>
      </c>
    </row>
    <row r="18" ht="27.0" customHeight="1">
      <c r="A18" s="27" t="s">
        <v>16</v>
      </c>
      <c r="B18" s="28" t="s">
        <v>53</v>
      </c>
      <c r="C18" s="29">
        <v>4.0</v>
      </c>
      <c r="D18" s="29">
        <v>4.0</v>
      </c>
      <c r="E18" s="29">
        <v>3.0</v>
      </c>
      <c r="F18" s="29">
        <v>4.0</v>
      </c>
      <c r="G18" s="29">
        <v>3.0</v>
      </c>
      <c r="H18" s="29">
        <v>3.0</v>
      </c>
      <c r="I18" s="30">
        <f t="shared" si="1"/>
        <v>3.5</v>
      </c>
      <c r="J18" s="31" t="s">
        <v>50</v>
      </c>
      <c r="K18" s="28" t="s">
        <v>100</v>
      </c>
      <c r="L18" s="32" t="s">
        <v>17</v>
      </c>
    </row>
    <row r="21" ht="28.5" customHeight="1">
      <c r="A21" s="33" t="s">
        <v>103</v>
      </c>
    </row>
    <row r="22" ht="24.75" customHeight="1">
      <c r="A22" s="34" t="s">
        <v>1</v>
      </c>
      <c r="B22" s="34" t="s">
        <v>105</v>
      </c>
      <c r="C22" s="34" t="s">
        <v>42</v>
      </c>
      <c r="E22" s="34" t="s">
        <v>23</v>
      </c>
      <c r="F22" s="34" t="s">
        <v>105</v>
      </c>
      <c r="G22" s="34" t="s">
        <v>42</v>
      </c>
    </row>
    <row r="23" ht="15.75" customHeight="1">
      <c r="A23" s="35" t="s">
        <v>4</v>
      </c>
      <c r="B23" s="35">
        <v>3.0</v>
      </c>
      <c r="C23" s="36">
        <f>AVERAGE(I6:I8)</f>
        <v>3.611111111</v>
      </c>
      <c r="E23" s="35" t="s">
        <v>32</v>
      </c>
      <c r="F23" s="35">
        <v>6.0</v>
      </c>
      <c r="G23" s="36">
        <f>AVERAGE(I6:I11)</f>
        <v>3.722222222</v>
      </c>
    </row>
    <row r="24" ht="15.75" customHeight="1">
      <c r="A24" s="35" t="s">
        <v>7</v>
      </c>
      <c r="B24" s="35">
        <v>3.0</v>
      </c>
      <c r="C24" s="36">
        <f>AVERAGE(I9:I11)</f>
        <v>3.833333333</v>
      </c>
      <c r="E24" s="35" t="s">
        <v>94</v>
      </c>
      <c r="F24" s="35">
        <v>6.0</v>
      </c>
      <c r="G24" s="36">
        <f>AVERAGE(I12:I17)</f>
        <v>2.972222222</v>
      </c>
    </row>
    <row r="25" ht="15.75" customHeight="1">
      <c r="A25" s="35" t="s">
        <v>10</v>
      </c>
      <c r="B25" s="35">
        <v>3.0</v>
      </c>
      <c r="C25" s="36">
        <f>AVERAGE(I12:I14)</f>
        <v>2.555555556</v>
      </c>
      <c r="E25" s="35" t="s">
        <v>16</v>
      </c>
      <c r="F25" s="35">
        <v>1.0</v>
      </c>
      <c r="G25" s="36">
        <f>AVERAGE(I18)</f>
        <v>3.5</v>
      </c>
    </row>
    <row r="26" ht="15.75" customHeight="1">
      <c r="A26" s="35" t="s">
        <v>13</v>
      </c>
      <c r="B26" s="35">
        <v>3.0</v>
      </c>
      <c r="C26" s="36">
        <f>AVERAGE(I15:I17)</f>
        <v>3.388888889</v>
      </c>
    </row>
    <row r="27" ht="30.0" customHeight="1">
      <c r="A27" s="35" t="s">
        <v>16</v>
      </c>
      <c r="B27" s="35">
        <v>1.0</v>
      </c>
      <c r="C27" s="36">
        <f>AVERAGE(I18)</f>
        <v>3.5</v>
      </c>
      <c r="E27" s="37" t="s">
        <v>113</v>
      </c>
      <c r="H27" s="38"/>
      <c r="I27" s="38"/>
      <c r="J27" s="38"/>
      <c r="K27" s="38"/>
      <c r="L27" s="3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:L1"/>
    <mergeCell ref="E21:H21"/>
    <mergeCell ref="A21:B21"/>
    <mergeCell ref="E27:G27"/>
    <mergeCell ref="A3:F3"/>
    <mergeCell ref="A2:F2"/>
  </mergeCells>
  <conditionalFormatting sqref="C6:H18">
    <cfRule type="colorScale" priority="1">
      <colorScale>
        <cfvo type="min"/>
        <cfvo type="percentile" val="50"/>
        <cfvo type="max"/>
        <color rgb="FFFDE4E4"/>
        <color rgb="FFFFF2CA"/>
        <color rgb="FFDDF3E8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2.0"/>
    <col customWidth="1" min="2" max="3" width="13.0"/>
    <col customWidth="1" min="4" max="4" width="29.0"/>
    <col customWidth="1" min="5" max="5" width="13.0"/>
    <col customWidth="1" min="6" max="6" width="105.0"/>
    <col customWidth="1" min="7" max="26" width="8.63"/>
  </cols>
  <sheetData>
    <row r="1" ht="36.0" customHeight="1">
      <c r="A1" s="5" t="s">
        <v>19</v>
      </c>
    </row>
    <row r="2" ht="27.75" customHeight="1">
      <c r="A2" s="6" t="s">
        <v>20</v>
      </c>
    </row>
    <row r="4" ht="30.75" customHeight="1">
      <c r="A4" s="8" t="s">
        <v>21</v>
      </c>
      <c r="B4" s="8" t="s">
        <v>23</v>
      </c>
      <c r="C4" s="8" t="s">
        <v>24</v>
      </c>
      <c r="D4" s="8" t="s">
        <v>26</v>
      </c>
      <c r="E4" s="8" t="s">
        <v>27</v>
      </c>
      <c r="F4" s="8" t="s">
        <v>28</v>
      </c>
    </row>
    <row r="5" ht="36.75" customHeight="1">
      <c r="A5" s="11" t="s">
        <v>30</v>
      </c>
      <c r="B5" s="11" t="s">
        <v>32</v>
      </c>
      <c r="C5" s="11" t="s">
        <v>33</v>
      </c>
      <c r="D5" s="11" t="s">
        <v>34</v>
      </c>
      <c r="E5" s="13">
        <v>4.0</v>
      </c>
      <c r="F5" s="14" t="s">
        <v>35</v>
      </c>
    </row>
    <row r="6" ht="36.75" customHeight="1">
      <c r="A6" s="11" t="s">
        <v>30</v>
      </c>
      <c r="B6" s="11" t="s">
        <v>32</v>
      </c>
      <c r="C6" s="11" t="s">
        <v>33</v>
      </c>
      <c r="D6" s="11" t="s">
        <v>36</v>
      </c>
      <c r="E6" s="13">
        <v>3.0</v>
      </c>
      <c r="F6" s="14" t="s">
        <v>40</v>
      </c>
    </row>
    <row r="7" ht="36.75" customHeight="1">
      <c r="A7" s="11" t="s">
        <v>30</v>
      </c>
      <c r="B7" s="11" t="s">
        <v>32</v>
      </c>
      <c r="C7" s="11" t="s">
        <v>33</v>
      </c>
      <c r="D7" s="11" t="s">
        <v>37</v>
      </c>
      <c r="E7" s="13">
        <v>3.0</v>
      </c>
      <c r="F7" s="14" t="s">
        <v>46</v>
      </c>
    </row>
    <row r="8" ht="36.75" customHeight="1">
      <c r="A8" s="11" t="s">
        <v>30</v>
      </c>
      <c r="B8" s="11" t="s">
        <v>32</v>
      </c>
      <c r="C8" s="11" t="s">
        <v>33</v>
      </c>
      <c r="D8" s="11" t="s">
        <v>38</v>
      </c>
      <c r="E8" s="13">
        <v>3.0</v>
      </c>
      <c r="F8" s="14" t="s">
        <v>47</v>
      </c>
    </row>
    <row r="9" ht="36.75" customHeight="1">
      <c r="A9" s="11" t="s">
        <v>30</v>
      </c>
      <c r="B9" s="11" t="s">
        <v>32</v>
      </c>
      <c r="C9" s="11" t="s">
        <v>33</v>
      </c>
      <c r="D9" s="11" t="s">
        <v>39</v>
      </c>
      <c r="E9" s="13">
        <v>3.0</v>
      </c>
      <c r="F9" s="14" t="s">
        <v>48</v>
      </c>
    </row>
    <row r="10" ht="36.75" customHeight="1">
      <c r="A10" s="11" t="s">
        <v>30</v>
      </c>
      <c r="B10" s="11" t="s">
        <v>32</v>
      </c>
      <c r="C10" s="11" t="s">
        <v>33</v>
      </c>
      <c r="D10" s="11" t="s">
        <v>41</v>
      </c>
      <c r="E10" s="13">
        <v>3.0</v>
      </c>
      <c r="F10" s="14" t="s">
        <v>49</v>
      </c>
    </row>
    <row r="11" ht="36.75" customHeight="1">
      <c r="A11" s="11" t="s">
        <v>51</v>
      </c>
      <c r="B11" s="11" t="s">
        <v>32</v>
      </c>
      <c r="C11" s="11" t="s">
        <v>53</v>
      </c>
      <c r="D11" s="11" t="s">
        <v>34</v>
      </c>
      <c r="E11" s="13">
        <v>4.0</v>
      </c>
      <c r="F11" s="14" t="s">
        <v>54</v>
      </c>
    </row>
    <row r="12" ht="36.75" customHeight="1">
      <c r="A12" s="11" t="s">
        <v>51</v>
      </c>
      <c r="B12" s="11" t="s">
        <v>32</v>
      </c>
      <c r="C12" s="11" t="s">
        <v>53</v>
      </c>
      <c r="D12" s="11" t="s">
        <v>36</v>
      </c>
      <c r="E12" s="13">
        <v>4.0</v>
      </c>
      <c r="F12" s="14" t="s">
        <v>55</v>
      </c>
    </row>
    <row r="13" ht="36.75" customHeight="1">
      <c r="A13" s="11" t="s">
        <v>51</v>
      </c>
      <c r="B13" s="11" t="s">
        <v>32</v>
      </c>
      <c r="C13" s="11" t="s">
        <v>53</v>
      </c>
      <c r="D13" s="11" t="s">
        <v>37</v>
      </c>
      <c r="E13" s="13">
        <v>4.0</v>
      </c>
      <c r="F13" s="14" t="s">
        <v>56</v>
      </c>
    </row>
    <row r="14" ht="36.75" customHeight="1">
      <c r="A14" s="11" t="s">
        <v>51</v>
      </c>
      <c r="B14" s="11" t="s">
        <v>32</v>
      </c>
      <c r="C14" s="11" t="s">
        <v>53</v>
      </c>
      <c r="D14" s="11" t="s">
        <v>38</v>
      </c>
      <c r="E14" s="13">
        <v>4.0</v>
      </c>
      <c r="F14" s="14" t="s">
        <v>58</v>
      </c>
    </row>
    <row r="15" ht="36.75" customHeight="1">
      <c r="A15" s="11" t="s">
        <v>51</v>
      </c>
      <c r="B15" s="11" t="s">
        <v>32</v>
      </c>
      <c r="C15" s="11" t="s">
        <v>53</v>
      </c>
      <c r="D15" s="11" t="s">
        <v>39</v>
      </c>
      <c r="E15" s="13">
        <v>4.0</v>
      </c>
      <c r="F15" s="14" t="s">
        <v>59</v>
      </c>
    </row>
    <row r="16" ht="36.75" customHeight="1">
      <c r="A16" s="11" t="s">
        <v>51</v>
      </c>
      <c r="B16" s="11" t="s">
        <v>32</v>
      </c>
      <c r="C16" s="11" t="s">
        <v>53</v>
      </c>
      <c r="D16" s="11" t="s">
        <v>41</v>
      </c>
      <c r="E16" s="13">
        <v>3.0</v>
      </c>
      <c r="F16" s="14" t="s">
        <v>60</v>
      </c>
    </row>
    <row r="17" ht="36.75" customHeight="1">
      <c r="A17" s="11" t="s">
        <v>61</v>
      </c>
      <c r="B17" s="11" t="s">
        <v>32</v>
      </c>
      <c r="C17" s="11" t="s">
        <v>57</v>
      </c>
      <c r="D17" s="11" t="s">
        <v>34</v>
      </c>
      <c r="E17" s="13">
        <v>4.0</v>
      </c>
      <c r="F17" s="14" t="s">
        <v>62</v>
      </c>
    </row>
    <row r="18" ht="36.75" customHeight="1">
      <c r="A18" s="11" t="s">
        <v>61</v>
      </c>
      <c r="B18" s="11" t="s">
        <v>32</v>
      </c>
      <c r="C18" s="11" t="s">
        <v>57</v>
      </c>
      <c r="D18" s="11" t="s">
        <v>36</v>
      </c>
      <c r="E18" s="13">
        <v>4.0</v>
      </c>
      <c r="F18" s="14" t="s">
        <v>63</v>
      </c>
    </row>
    <row r="19" ht="36.75" customHeight="1">
      <c r="A19" s="11" t="s">
        <v>61</v>
      </c>
      <c r="B19" s="11" t="s">
        <v>32</v>
      </c>
      <c r="C19" s="11" t="s">
        <v>57</v>
      </c>
      <c r="D19" s="11" t="s">
        <v>37</v>
      </c>
      <c r="E19" s="13">
        <v>4.0</v>
      </c>
      <c r="F19" s="14" t="s">
        <v>65</v>
      </c>
    </row>
    <row r="20" ht="36.75" customHeight="1">
      <c r="A20" s="11" t="s">
        <v>61</v>
      </c>
      <c r="B20" s="11" t="s">
        <v>32</v>
      </c>
      <c r="C20" s="11" t="s">
        <v>57</v>
      </c>
      <c r="D20" s="11" t="s">
        <v>38</v>
      </c>
      <c r="E20" s="13">
        <v>4.0</v>
      </c>
      <c r="F20" s="14" t="s">
        <v>66</v>
      </c>
    </row>
    <row r="21" ht="36.75" customHeight="1">
      <c r="A21" s="11" t="s">
        <v>61</v>
      </c>
      <c r="B21" s="11" t="s">
        <v>32</v>
      </c>
      <c r="C21" s="11" t="s">
        <v>57</v>
      </c>
      <c r="D21" s="11" t="s">
        <v>39</v>
      </c>
      <c r="E21" s="13">
        <v>4.0</v>
      </c>
      <c r="F21" s="14" t="s">
        <v>67</v>
      </c>
    </row>
    <row r="22" ht="36.75" customHeight="1">
      <c r="A22" s="11" t="s">
        <v>61</v>
      </c>
      <c r="B22" s="11" t="s">
        <v>32</v>
      </c>
      <c r="C22" s="11" t="s">
        <v>57</v>
      </c>
      <c r="D22" s="11" t="s">
        <v>41</v>
      </c>
      <c r="E22" s="13">
        <v>3.0</v>
      </c>
      <c r="F22" s="14" t="s">
        <v>68</v>
      </c>
    </row>
    <row r="23" ht="36.75" customHeight="1">
      <c r="A23" s="11" t="s">
        <v>69</v>
      </c>
      <c r="B23" s="11" t="s">
        <v>32</v>
      </c>
      <c r="C23" s="11" t="s">
        <v>33</v>
      </c>
      <c r="D23" s="11" t="s">
        <v>34</v>
      </c>
      <c r="E23" s="13">
        <v>4.0</v>
      </c>
      <c r="F23" s="14" t="s">
        <v>70</v>
      </c>
    </row>
    <row r="24" ht="36.75" customHeight="1">
      <c r="A24" s="11" t="s">
        <v>69</v>
      </c>
      <c r="B24" s="11" t="s">
        <v>32</v>
      </c>
      <c r="C24" s="11" t="s">
        <v>33</v>
      </c>
      <c r="D24" s="11" t="s">
        <v>36</v>
      </c>
      <c r="E24" s="13">
        <v>4.0</v>
      </c>
      <c r="F24" s="14" t="s">
        <v>71</v>
      </c>
    </row>
    <row r="25" ht="36.75" customHeight="1">
      <c r="A25" s="11" t="s">
        <v>69</v>
      </c>
      <c r="B25" s="11" t="s">
        <v>32</v>
      </c>
      <c r="C25" s="11" t="s">
        <v>33</v>
      </c>
      <c r="D25" s="11" t="s">
        <v>37</v>
      </c>
      <c r="E25" s="13">
        <v>4.0</v>
      </c>
      <c r="F25" s="14" t="s">
        <v>72</v>
      </c>
    </row>
    <row r="26" ht="36.75" customHeight="1">
      <c r="A26" s="11" t="s">
        <v>69</v>
      </c>
      <c r="B26" s="11" t="s">
        <v>32</v>
      </c>
      <c r="C26" s="11" t="s">
        <v>33</v>
      </c>
      <c r="D26" s="11" t="s">
        <v>38</v>
      </c>
      <c r="E26" s="13">
        <v>4.0</v>
      </c>
      <c r="F26" s="14" t="s">
        <v>73</v>
      </c>
    </row>
    <row r="27" ht="36.75" customHeight="1">
      <c r="A27" s="11" t="s">
        <v>69</v>
      </c>
      <c r="B27" s="11" t="s">
        <v>32</v>
      </c>
      <c r="C27" s="11" t="s">
        <v>33</v>
      </c>
      <c r="D27" s="11" t="s">
        <v>39</v>
      </c>
      <c r="E27" s="13">
        <v>4.0</v>
      </c>
      <c r="F27" s="14" t="s">
        <v>74</v>
      </c>
    </row>
    <row r="28" ht="36.75" customHeight="1">
      <c r="A28" s="11" t="s">
        <v>69</v>
      </c>
      <c r="B28" s="11" t="s">
        <v>32</v>
      </c>
      <c r="C28" s="11" t="s">
        <v>33</v>
      </c>
      <c r="D28" s="11" t="s">
        <v>41</v>
      </c>
      <c r="E28" s="13">
        <v>3.0</v>
      </c>
      <c r="F28" s="14" t="s">
        <v>76</v>
      </c>
    </row>
    <row r="29" ht="36.75" customHeight="1">
      <c r="A29" s="11" t="s">
        <v>78</v>
      </c>
      <c r="B29" s="11" t="s">
        <v>32</v>
      </c>
      <c r="C29" s="11" t="s">
        <v>53</v>
      </c>
      <c r="D29" s="11" t="s">
        <v>34</v>
      </c>
      <c r="E29" s="13">
        <v>4.0</v>
      </c>
      <c r="F29" s="14" t="s">
        <v>79</v>
      </c>
    </row>
    <row r="30" ht="36.75" customHeight="1">
      <c r="A30" s="11" t="s">
        <v>78</v>
      </c>
      <c r="B30" s="11" t="s">
        <v>32</v>
      </c>
      <c r="C30" s="11" t="s">
        <v>53</v>
      </c>
      <c r="D30" s="11" t="s">
        <v>36</v>
      </c>
      <c r="E30" s="13">
        <v>4.0</v>
      </c>
      <c r="F30" s="14" t="s">
        <v>80</v>
      </c>
    </row>
    <row r="31" ht="36.75" customHeight="1">
      <c r="A31" s="11" t="s">
        <v>78</v>
      </c>
      <c r="B31" s="11" t="s">
        <v>32</v>
      </c>
      <c r="C31" s="11" t="s">
        <v>53</v>
      </c>
      <c r="D31" s="11" t="s">
        <v>37</v>
      </c>
      <c r="E31" s="13">
        <v>4.0</v>
      </c>
      <c r="F31" s="14" t="s">
        <v>81</v>
      </c>
    </row>
    <row r="32" ht="36.75" customHeight="1">
      <c r="A32" s="11" t="s">
        <v>78</v>
      </c>
      <c r="B32" s="11" t="s">
        <v>32</v>
      </c>
      <c r="C32" s="11" t="s">
        <v>53</v>
      </c>
      <c r="D32" s="11" t="s">
        <v>38</v>
      </c>
      <c r="E32" s="13">
        <v>4.0</v>
      </c>
      <c r="F32" s="14" t="s">
        <v>82</v>
      </c>
    </row>
    <row r="33" ht="36.75" customHeight="1">
      <c r="A33" s="11" t="s">
        <v>78</v>
      </c>
      <c r="B33" s="11" t="s">
        <v>32</v>
      </c>
      <c r="C33" s="11" t="s">
        <v>53</v>
      </c>
      <c r="D33" s="11" t="s">
        <v>39</v>
      </c>
      <c r="E33" s="13">
        <v>4.0</v>
      </c>
      <c r="F33" s="14" t="s">
        <v>83</v>
      </c>
    </row>
    <row r="34" ht="36.75" customHeight="1">
      <c r="A34" s="11" t="s">
        <v>78</v>
      </c>
      <c r="B34" s="11" t="s">
        <v>32</v>
      </c>
      <c r="C34" s="11" t="s">
        <v>53</v>
      </c>
      <c r="D34" s="11" t="s">
        <v>41</v>
      </c>
      <c r="E34" s="13">
        <v>3.0</v>
      </c>
      <c r="F34" s="14" t="s">
        <v>84</v>
      </c>
    </row>
    <row r="35" ht="36.75" customHeight="1">
      <c r="A35" s="11" t="s">
        <v>85</v>
      </c>
      <c r="B35" s="11" t="s">
        <v>32</v>
      </c>
      <c r="C35" s="11" t="s">
        <v>57</v>
      </c>
      <c r="D35" s="11" t="s">
        <v>34</v>
      </c>
      <c r="E35" s="13">
        <v>4.0</v>
      </c>
      <c r="F35" s="14" t="s">
        <v>86</v>
      </c>
    </row>
    <row r="36" ht="36.75" customHeight="1">
      <c r="A36" s="11" t="s">
        <v>85</v>
      </c>
      <c r="B36" s="11" t="s">
        <v>32</v>
      </c>
      <c r="C36" s="11" t="s">
        <v>57</v>
      </c>
      <c r="D36" s="11" t="s">
        <v>36</v>
      </c>
      <c r="E36" s="13">
        <v>4.0</v>
      </c>
      <c r="F36" s="14" t="s">
        <v>87</v>
      </c>
    </row>
    <row r="37" ht="36.75" customHeight="1">
      <c r="A37" s="11" t="s">
        <v>85</v>
      </c>
      <c r="B37" s="11" t="s">
        <v>32</v>
      </c>
      <c r="C37" s="11" t="s">
        <v>57</v>
      </c>
      <c r="D37" s="11" t="s">
        <v>37</v>
      </c>
      <c r="E37" s="13">
        <v>4.0</v>
      </c>
      <c r="F37" s="14" t="s">
        <v>88</v>
      </c>
    </row>
    <row r="38" ht="36.75" customHeight="1">
      <c r="A38" s="11" t="s">
        <v>85</v>
      </c>
      <c r="B38" s="11" t="s">
        <v>32</v>
      </c>
      <c r="C38" s="11" t="s">
        <v>57</v>
      </c>
      <c r="D38" s="11" t="s">
        <v>38</v>
      </c>
      <c r="E38" s="13">
        <v>4.0</v>
      </c>
      <c r="F38" s="14" t="s">
        <v>90</v>
      </c>
    </row>
    <row r="39" ht="36.75" customHeight="1">
      <c r="A39" s="11" t="s">
        <v>85</v>
      </c>
      <c r="B39" s="11" t="s">
        <v>32</v>
      </c>
      <c r="C39" s="11" t="s">
        <v>57</v>
      </c>
      <c r="D39" s="11" t="s">
        <v>39</v>
      </c>
      <c r="E39" s="13">
        <v>4.0</v>
      </c>
      <c r="F39" s="14" t="s">
        <v>91</v>
      </c>
    </row>
    <row r="40" ht="36.75" customHeight="1">
      <c r="A40" s="11" t="s">
        <v>85</v>
      </c>
      <c r="B40" s="11" t="s">
        <v>32</v>
      </c>
      <c r="C40" s="11" t="s">
        <v>57</v>
      </c>
      <c r="D40" s="11" t="s">
        <v>41</v>
      </c>
      <c r="E40" s="13">
        <v>3.0</v>
      </c>
      <c r="F40" s="14" t="s">
        <v>92</v>
      </c>
    </row>
    <row r="41" ht="36.75" customHeight="1">
      <c r="A41" s="20" t="s">
        <v>93</v>
      </c>
      <c r="B41" s="20" t="s">
        <v>94</v>
      </c>
      <c r="C41" s="20" t="s">
        <v>33</v>
      </c>
      <c r="D41" s="20" t="s">
        <v>34</v>
      </c>
      <c r="E41" s="21">
        <v>2.0</v>
      </c>
      <c r="F41" s="26" t="s">
        <v>95</v>
      </c>
    </row>
    <row r="42" ht="36.75" customHeight="1">
      <c r="A42" s="20" t="s">
        <v>93</v>
      </c>
      <c r="B42" s="20" t="s">
        <v>94</v>
      </c>
      <c r="C42" s="20" t="s">
        <v>33</v>
      </c>
      <c r="D42" s="20" t="s">
        <v>36</v>
      </c>
      <c r="E42" s="21">
        <v>3.0</v>
      </c>
      <c r="F42" s="26" t="s">
        <v>96</v>
      </c>
    </row>
    <row r="43" ht="36.75" customHeight="1">
      <c r="A43" s="20" t="s">
        <v>93</v>
      </c>
      <c r="B43" s="20" t="s">
        <v>94</v>
      </c>
      <c r="C43" s="20" t="s">
        <v>33</v>
      </c>
      <c r="D43" s="20" t="s">
        <v>37</v>
      </c>
      <c r="E43" s="21">
        <v>3.0</v>
      </c>
      <c r="F43" s="26" t="s">
        <v>97</v>
      </c>
    </row>
    <row r="44" ht="36.75" customHeight="1">
      <c r="A44" s="20" t="s">
        <v>93</v>
      </c>
      <c r="B44" s="20" t="s">
        <v>94</v>
      </c>
      <c r="C44" s="20" t="s">
        <v>33</v>
      </c>
      <c r="D44" s="20" t="s">
        <v>38</v>
      </c>
      <c r="E44" s="21">
        <v>2.0</v>
      </c>
      <c r="F44" s="26" t="s">
        <v>98</v>
      </c>
    </row>
    <row r="45" ht="36.75" customHeight="1">
      <c r="A45" s="20" t="s">
        <v>93</v>
      </c>
      <c r="B45" s="20" t="s">
        <v>94</v>
      </c>
      <c r="C45" s="20" t="s">
        <v>33</v>
      </c>
      <c r="D45" s="20" t="s">
        <v>39</v>
      </c>
      <c r="E45" s="21">
        <v>2.0</v>
      </c>
      <c r="F45" s="26" t="s">
        <v>99</v>
      </c>
    </row>
    <row r="46" ht="36.75" customHeight="1">
      <c r="A46" s="20" t="s">
        <v>93</v>
      </c>
      <c r="B46" s="20" t="s">
        <v>94</v>
      </c>
      <c r="C46" s="20" t="s">
        <v>33</v>
      </c>
      <c r="D46" s="20" t="s">
        <v>41</v>
      </c>
      <c r="E46" s="21">
        <v>2.0</v>
      </c>
      <c r="F46" s="26" t="s">
        <v>101</v>
      </c>
    </row>
    <row r="47" ht="36.75" customHeight="1">
      <c r="A47" s="20" t="s">
        <v>102</v>
      </c>
      <c r="B47" s="20" t="s">
        <v>94</v>
      </c>
      <c r="C47" s="20" t="s">
        <v>53</v>
      </c>
      <c r="D47" s="20" t="s">
        <v>34</v>
      </c>
      <c r="E47" s="21">
        <v>4.0</v>
      </c>
      <c r="F47" s="26" t="s">
        <v>104</v>
      </c>
    </row>
    <row r="48" ht="36.75" customHeight="1">
      <c r="A48" s="20" t="s">
        <v>102</v>
      </c>
      <c r="B48" s="20" t="s">
        <v>94</v>
      </c>
      <c r="C48" s="20" t="s">
        <v>53</v>
      </c>
      <c r="D48" s="20" t="s">
        <v>36</v>
      </c>
      <c r="E48" s="21">
        <v>3.0</v>
      </c>
      <c r="F48" s="26" t="s">
        <v>106</v>
      </c>
    </row>
    <row r="49" ht="36.75" customHeight="1">
      <c r="A49" s="20" t="s">
        <v>102</v>
      </c>
      <c r="B49" s="20" t="s">
        <v>94</v>
      </c>
      <c r="C49" s="20" t="s">
        <v>53</v>
      </c>
      <c r="D49" s="20" t="s">
        <v>37</v>
      </c>
      <c r="E49" s="21">
        <v>3.0</v>
      </c>
      <c r="F49" s="26" t="s">
        <v>107</v>
      </c>
    </row>
    <row r="50" ht="36.75" customHeight="1">
      <c r="A50" s="20" t="s">
        <v>102</v>
      </c>
      <c r="B50" s="20" t="s">
        <v>94</v>
      </c>
      <c r="C50" s="20" t="s">
        <v>53</v>
      </c>
      <c r="D50" s="20" t="s">
        <v>38</v>
      </c>
      <c r="E50" s="21">
        <v>3.0</v>
      </c>
      <c r="F50" s="26" t="s">
        <v>108</v>
      </c>
    </row>
    <row r="51" ht="36.75" customHeight="1">
      <c r="A51" s="20" t="s">
        <v>102</v>
      </c>
      <c r="B51" s="20" t="s">
        <v>94</v>
      </c>
      <c r="C51" s="20" t="s">
        <v>53</v>
      </c>
      <c r="D51" s="20" t="s">
        <v>39</v>
      </c>
      <c r="E51" s="21">
        <v>3.0</v>
      </c>
      <c r="F51" s="26" t="s">
        <v>109</v>
      </c>
    </row>
    <row r="52" ht="36.75" customHeight="1">
      <c r="A52" s="20" t="s">
        <v>102</v>
      </c>
      <c r="B52" s="20" t="s">
        <v>94</v>
      </c>
      <c r="C52" s="20" t="s">
        <v>53</v>
      </c>
      <c r="D52" s="20" t="s">
        <v>41</v>
      </c>
      <c r="E52" s="21">
        <v>3.0</v>
      </c>
      <c r="F52" s="26" t="s">
        <v>110</v>
      </c>
    </row>
    <row r="53" ht="36.75" customHeight="1">
      <c r="A53" s="20" t="s">
        <v>111</v>
      </c>
      <c r="B53" s="20" t="s">
        <v>94</v>
      </c>
      <c r="C53" s="20" t="s">
        <v>57</v>
      </c>
      <c r="D53" s="20" t="s">
        <v>34</v>
      </c>
      <c r="E53" s="21">
        <v>3.0</v>
      </c>
      <c r="F53" s="26" t="s">
        <v>112</v>
      </c>
    </row>
    <row r="54" ht="36.75" customHeight="1">
      <c r="A54" s="20" t="s">
        <v>111</v>
      </c>
      <c r="B54" s="20" t="s">
        <v>94</v>
      </c>
      <c r="C54" s="20" t="s">
        <v>57</v>
      </c>
      <c r="D54" s="20" t="s">
        <v>36</v>
      </c>
      <c r="E54" s="21">
        <v>3.0</v>
      </c>
      <c r="F54" s="26" t="s">
        <v>114</v>
      </c>
    </row>
    <row r="55" ht="36.75" customHeight="1">
      <c r="A55" s="20" t="s">
        <v>111</v>
      </c>
      <c r="B55" s="20" t="s">
        <v>94</v>
      </c>
      <c r="C55" s="20" t="s">
        <v>57</v>
      </c>
      <c r="D55" s="20" t="s">
        <v>37</v>
      </c>
      <c r="E55" s="21">
        <v>3.0</v>
      </c>
      <c r="F55" s="26" t="s">
        <v>115</v>
      </c>
    </row>
    <row r="56" ht="36.75" customHeight="1">
      <c r="A56" s="20" t="s">
        <v>111</v>
      </c>
      <c r="B56" s="20" t="s">
        <v>94</v>
      </c>
      <c r="C56" s="20" t="s">
        <v>57</v>
      </c>
      <c r="D56" s="20" t="s">
        <v>38</v>
      </c>
      <c r="E56" s="21">
        <v>2.0</v>
      </c>
      <c r="F56" s="26" t="s">
        <v>116</v>
      </c>
    </row>
    <row r="57" ht="36.75" customHeight="1">
      <c r="A57" s="20" t="s">
        <v>111</v>
      </c>
      <c r="B57" s="20" t="s">
        <v>94</v>
      </c>
      <c r="C57" s="20" t="s">
        <v>57</v>
      </c>
      <c r="D57" s="20" t="s">
        <v>39</v>
      </c>
      <c r="E57" s="21">
        <v>1.0</v>
      </c>
      <c r="F57" s="26" t="s">
        <v>117</v>
      </c>
    </row>
    <row r="58" ht="36.75" customHeight="1">
      <c r="A58" s="20" t="s">
        <v>111</v>
      </c>
      <c r="B58" s="20" t="s">
        <v>94</v>
      </c>
      <c r="C58" s="20" t="s">
        <v>57</v>
      </c>
      <c r="D58" s="20" t="s">
        <v>41</v>
      </c>
      <c r="E58" s="21">
        <v>1.0</v>
      </c>
      <c r="F58" s="26" t="s">
        <v>118</v>
      </c>
    </row>
    <row r="59" ht="36.75" customHeight="1">
      <c r="A59" s="20" t="s">
        <v>119</v>
      </c>
      <c r="B59" s="20" t="s">
        <v>94</v>
      </c>
      <c r="C59" s="20" t="s">
        <v>33</v>
      </c>
      <c r="D59" s="20" t="s">
        <v>34</v>
      </c>
      <c r="E59" s="21">
        <v>4.0</v>
      </c>
      <c r="F59" s="26" t="s">
        <v>120</v>
      </c>
    </row>
    <row r="60" ht="36.75" customHeight="1">
      <c r="A60" s="20" t="s">
        <v>119</v>
      </c>
      <c r="B60" s="20" t="s">
        <v>94</v>
      </c>
      <c r="C60" s="20" t="s">
        <v>33</v>
      </c>
      <c r="D60" s="20" t="s">
        <v>36</v>
      </c>
      <c r="E60" s="21">
        <v>3.0</v>
      </c>
      <c r="F60" s="26" t="s">
        <v>121</v>
      </c>
    </row>
    <row r="61" ht="36.75" customHeight="1">
      <c r="A61" s="20" t="s">
        <v>119</v>
      </c>
      <c r="B61" s="20" t="s">
        <v>94</v>
      </c>
      <c r="C61" s="20" t="s">
        <v>33</v>
      </c>
      <c r="D61" s="20" t="s">
        <v>37</v>
      </c>
      <c r="E61" s="21">
        <v>3.0</v>
      </c>
      <c r="F61" s="26" t="s">
        <v>122</v>
      </c>
    </row>
    <row r="62" ht="36.75" customHeight="1">
      <c r="A62" s="20" t="s">
        <v>119</v>
      </c>
      <c r="B62" s="20" t="s">
        <v>94</v>
      </c>
      <c r="C62" s="20" t="s">
        <v>33</v>
      </c>
      <c r="D62" s="20" t="s">
        <v>38</v>
      </c>
      <c r="E62" s="21">
        <v>3.0</v>
      </c>
      <c r="F62" s="26" t="s">
        <v>123</v>
      </c>
    </row>
    <row r="63" ht="36.75" customHeight="1">
      <c r="A63" s="20" t="s">
        <v>119</v>
      </c>
      <c r="B63" s="20" t="s">
        <v>94</v>
      </c>
      <c r="C63" s="20" t="s">
        <v>33</v>
      </c>
      <c r="D63" s="20" t="s">
        <v>39</v>
      </c>
      <c r="E63" s="21">
        <v>3.0</v>
      </c>
      <c r="F63" s="26" t="s">
        <v>124</v>
      </c>
    </row>
    <row r="64" ht="36.75" customHeight="1">
      <c r="A64" s="20" t="s">
        <v>119</v>
      </c>
      <c r="B64" s="20" t="s">
        <v>94</v>
      </c>
      <c r="C64" s="20" t="s">
        <v>33</v>
      </c>
      <c r="D64" s="20" t="s">
        <v>41</v>
      </c>
      <c r="E64" s="21">
        <v>3.0</v>
      </c>
      <c r="F64" s="26" t="s">
        <v>125</v>
      </c>
    </row>
    <row r="65" ht="36.75" customHeight="1">
      <c r="A65" s="20" t="s">
        <v>126</v>
      </c>
      <c r="B65" s="20" t="s">
        <v>94</v>
      </c>
      <c r="C65" s="20" t="s">
        <v>53</v>
      </c>
      <c r="D65" s="20" t="s">
        <v>34</v>
      </c>
      <c r="E65" s="21">
        <v>4.0</v>
      </c>
      <c r="F65" s="26" t="s">
        <v>127</v>
      </c>
    </row>
    <row r="66" ht="36.75" customHeight="1">
      <c r="A66" s="20" t="s">
        <v>126</v>
      </c>
      <c r="B66" s="20" t="s">
        <v>94</v>
      </c>
      <c r="C66" s="20" t="s">
        <v>53</v>
      </c>
      <c r="D66" s="20" t="s">
        <v>36</v>
      </c>
      <c r="E66" s="21">
        <v>4.0</v>
      </c>
      <c r="F66" s="26" t="s">
        <v>128</v>
      </c>
    </row>
    <row r="67" ht="36.75" customHeight="1">
      <c r="A67" s="20" t="s">
        <v>126</v>
      </c>
      <c r="B67" s="20" t="s">
        <v>94</v>
      </c>
      <c r="C67" s="20" t="s">
        <v>53</v>
      </c>
      <c r="D67" s="20" t="s">
        <v>37</v>
      </c>
      <c r="E67" s="21">
        <v>4.0</v>
      </c>
      <c r="F67" s="26" t="s">
        <v>129</v>
      </c>
    </row>
    <row r="68" ht="36.75" customHeight="1">
      <c r="A68" s="20" t="s">
        <v>126</v>
      </c>
      <c r="B68" s="20" t="s">
        <v>94</v>
      </c>
      <c r="C68" s="20" t="s">
        <v>53</v>
      </c>
      <c r="D68" s="20" t="s">
        <v>38</v>
      </c>
      <c r="E68" s="21">
        <v>4.0</v>
      </c>
      <c r="F68" s="26" t="s">
        <v>130</v>
      </c>
    </row>
    <row r="69" ht="36.75" customHeight="1">
      <c r="A69" s="20" t="s">
        <v>126</v>
      </c>
      <c r="B69" s="20" t="s">
        <v>94</v>
      </c>
      <c r="C69" s="20" t="s">
        <v>53</v>
      </c>
      <c r="D69" s="20" t="s">
        <v>39</v>
      </c>
      <c r="E69" s="21">
        <v>4.0</v>
      </c>
      <c r="F69" s="26" t="s">
        <v>131</v>
      </c>
    </row>
    <row r="70" ht="36.75" customHeight="1">
      <c r="A70" s="20" t="s">
        <v>126</v>
      </c>
      <c r="B70" s="20" t="s">
        <v>94</v>
      </c>
      <c r="C70" s="20" t="s">
        <v>53</v>
      </c>
      <c r="D70" s="20" t="s">
        <v>41</v>
      </c>
      <c r="E70" s="21">
        <v>3.0</v>
      </c>
      <c r="F70" s="26" t="s">
        <v>132</v>
      </c>
    </row>
    <row r="71" ht="36.75" customHeight="1">
      <c r="A71" s="20" t="s">
        <v>133</v>
      </c>
      <c r="B71" s="20" t="s">
        <v>94</v>
      </c>
      <c r="C71" s="20" t="s">
        <v>57</v>
      </c>
      <c r="D71" s="20" t="s">
        <v>34</v>
      </c>
      <c r="E71" s="21">
        <v>4.0</v>
      </c>
      <c r="F71" s="26" t="s">
        <v>134</v>
      </c>
    </row>
    <row r="72" ht="36.75" customHeight="1">
      <c r="A72" s="20" t="s">
        <v>133</v>
      </c>
      <c r="B72" s="20" t="s">
        <v>94</v>
      </c>
      <c r="C72" s="20" t="s">
        <v>57</v>
      </c>
      <c r="D72" s="20" t="s">
        <v>36</v>
      </c>
      <c r="E72" s="21">
        <v>3.0</v>
      </c>
      <c r="F72" s="26" t="s">
        <v>135</v>
      </c>
    </row>
    <row r="73" ht="36.75" customHeight="1">
      <c r="A73" s="20" t="s">
        <v>133</v>
      </c>
      <c r="B73" s="20" t="s">
        <v>94</v>
      </c>
      <c r="C73" s="20" t="s">
        <v>57</v>
      </c>
      <c r="D73" s="20" t="s">
        <v>37</v>
      </c>
      <c r="E73" s="21">
        <v>3.0</v>
      </c>
      <c r="F73" s="26" t="s">
        <v>136</v>
      </c>
    </row>
    <row r="74" ht="36.75" customHeight="1">
      <c r="A74" s="20" t="s">
        <v>133</v>
      </c>
      <c r="B74" s="20" t="s">
        <v>94</v>
      </c>
      <c r="C74" s="20" t="s">
        <v>57</v>
      </c>
      <c r="D74" s="20" t="s">
        <v>38</v>
      </c>
      <c r="E74" s="21">
        <v>3.0</v>
      </c>
      <c r="F74" s="26" t="s">
        <v>137</v>
      </c>
    </row>
    <row r="75" ht="36.75" customHeight="1">
      <c r="A75" s="20" t="s">
        <v>133</v>
      </c>
      <c r="B75" s="20" t="s">
        <v>94</v>
      </c>
      <c r="C75" s="20" t="s">
        <v>57</v>
      </c>
      <c r="D75" s="20" t="s">
        <v>39</v>
      </c>
      <c r="E75" s="21">
        <v>3.0</v>
      </c>
      <c r="F75" s="26" t="s">
        <v>138</v>
      </c>
    </row>
    <row r="76" ht="36.75" customHeight="1">
      <c r="A76" s="20" t="s">
        <v>133</v>
      </c>
      <c r="B76" s="20" t="s">
        <v>94</v>
      </c>
      <c r="C76" s="20" t="s">
        <v>57</v>
      </c>
      <c r="D76" s="20" t="s">
        <v>41</v>
      </c>
      <c r="E76" s="21">
        <v>3.0</v>
      </c>
      <c r="F76" s="26" t="s">
        <v>139</v>
      </c>
    </row>
    <row r="77" ht="36.75" customHeight="1">
      <c r="A77" s="28" t="s">
        <v>140</v>
      </c>
      <c r="B77" s="28" t="s">
        <v>141</v>
      </c>
      <c r="C77" s="28" t="s">
        <v>53</v>
      </c>
      <c r="D77" s="28" t="s">
        <v>34</v>
      </c>
      <c r="E77" s="29">
        <v>4.0</v>
      </c>
      <c r="F77" s="39" t="s">
        <v>142</v>
      </c>
    </row>
    <row r="78" ht="36.75" customHeight="1">
      <c r="A78" s="28" t="s">
        <v>140</v>
      </c>
      <c r="B78" s="28" t="s">
        <v>141</v>
      </c>
      <c r="C78" s="28" t="s">
        <v>53</v>
      </c>
      <c r="D78" s="28" t="s">
        <v>36</v>
      </c>
      <c r="E78" s="29">
        <v>4.0</v>
      </c>
      <c r="F78" s="39" t="s">
        <v>143</v>
      </c>
    </row>
    <row r="79" ht="36.75" customHeight="1">
      <c r="A79" s="28" t="s">
        <v>140</v>
      </c>
      <c r="B79" s="28" t="s">
        <v>141</v>
      </c>
      <c r="C79" s="28" t="s">
        <v>53</v>
      </c>
      <c r="D79" s="28" t="s">
        <v>37</v>
      </c>
      <c r="E79" s="29">
        <v>3.0</v>
      </c>
      <c r="F79" s="39" t="s">
        <v>144</v>
      </c>
    </row>
    <row r="80" ht="36.75" customHeight="1">
      <c r="A80" s="28" t="s">
        <v>140</v>
      </c>
      <c r="B80" s="28" t="s">
        <v>141</v>
      </c>
      <c r="C80" s="28" t="s">
        <v>53</v>
      </c>
      <c r="D80" s="28" t="s">
        <v>38</v>
      </c>
      <c r="E80" s="29">
        <v>4.0</v>
      </c>
      <c r="F80" s="39" t="s">
        <v>145</v>
      </c>
    </row>
    <row r="81" ht="36.75" customHeight="1">
      <c r="A81" s="28" t="s">
        <v>140</v>
      </c>
      <c r="B81" s="28" t="s">
        <v>141</v>
      </c>
      <c r="C81" s="28" t="s">
        <v>53</v>
      </c>
      <c r="D81" s="28" t="s">
        <v>39</v>
      </c>
      <c r="E81" s="29">
        <v>3.0</v>
      </c>
      <c r="F81" s="39" t="s">
        <v>146</v>
      </c>
    </row>
    <row r="82" ht="36.75" customHeight="1">
      <c r="A82" s="28" t="s">
        <v>140</v>
      </c>
      <c r="B82" s="28" t="s">
        <v>141</v>
      </c>
      <c r="C82" s="28" t="s">
        <v>53</v>
      </c>
      <c r="D82" s="28" t="s">
        <v>41</v>
      </c>
      <c r="E82" s="29">
        <v>3.0</v>
      </c>
      <c r="F82" s="39" t="s">
        <v>147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E5:E82">
    <cfRule type="colorScale" priority="1">
      <colorScale>
        <cfvo type="min"/>
        <cfvo type="percentile" val="50"/>
        <cfvo type="max"/>
        <color rgb="FFFDE4E4"/>
        <color rgb="FFFFF2CA"/>
        <color rgb="FFDDF3E8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2.0"/>
    <col customWidth="1" min="2" max="2" width="33.0"/>
    <col customWidth="1" min="3" max="3" width="110.0"/>
    <col customWidth="1" min="4" max="26" width="8.63"/>
  </cols>
  <sheetData>
    <row r="1" ht="36.75" customHeight="1">
      <c r="A1" s="1" t="s">
        <v>0</v>
      </c>
    </row>
    <row r="3" ht="25.5" customHeight="1">
      <c r="A3" s="2" t="s">
        <v>1</v>
      </c>
      <c r="B3" s="2" t="s">
        <v>2</v>
      </c>
      <c r="C3" s="2" t="s">
        <v>3</v>
      </c>
    </row>
    <row r="4" ht="24.0" customHeight="1">
      <c r="A4" s="3" t="s">
        <v>4</v>
      </c>
      <c r="B4" s="3" t="s">
        <v>5</v>
      </c>
      <c r="C4" s="4" t="s">
        <v>6</v>
      </c>
    </row>
    <row r="5" ht="24.0" customHeight="1">
      <c r="A5" s="3" t="s">
        <v>7</v>
      </c>
      <c r="B5" s="3" t="s">
        <v>8</v>
      </c>
      <c r="C5" s="4" t="s">
        <v>9</v>
      </c>
    </row>
    <row r="6" ht="24.0" customHeight="1">
      <c r="A6" s="3" t="s">
        <v>10</v>
      </c>
      <c r="B6" s="3" t="s">
        <v>11</v>
      </c>
      <c r="C6" s="4" t="s">
        <v>12</v>
      </c>
    </row>
    <row r="7" ht="24.0" customHeight="1">
      <c r="A7" s="3" t="s">
        <v>13</v>
      </c>
      <c r="B7" s="3" t="s">
        <v>14</v>
      </c>
      <c r="C7" s="4" t="s">
        <v>15</v>
      </c>
    </row>
    <row r="8" ht="24.0" customHeight="1">
      <c r="A8" s="3" t="s">
        <v>16</v>
      </c>
      <c r="B8" s="3" t="s">
        <v>17</v>
      </c>
      <c r="C8" s="4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